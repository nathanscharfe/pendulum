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\My Drive\Personal\Graduate School\ASE 381P3 Optimal Control - Bakolas\pendulum\"/>
    </mc:Choice>
  </mc:AlternateContent>
  <xr:revisionPtr revIDLastSave="0" documentId="13_ncr:1_{0575B902-DAB5-49CB-8C4A-B4097077E0F9}" xr6:coauthVersionLast="47" xr6:coauthVersionMax="47" xr10:uidLastSave="{00000000-0000-0000-0000-000000000000}"/>
  <bookViews>
    <workbookView xWindow="-108" yWindow="-108" windowWidth="30936" windowHeight="16776" xr2:uid="{B389BBB7-4EC2-4400-AFF8-93210159D8F6}"/>
  </bookViews>
  <sheets>
    <sheet name="belt driv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2" l="1"/>
  <c r="A27" i="2"/>
  <c r="A28" i="2"/>
  <c r="A29" i="2"/>
  <c r="A30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3" i="2"/>
</calcChain>
</file>

<file path=xl/sharedStrings.xml><?xml version="1.0" encoding="utf-8"?>
<sst xmlns="http://schemas.openxmlformats.org/spreadsheetml/2006/main" count="9" uniqueCount="9">
  <si>
    <t>delay</t>
  </si>
  <si>
    <t>ms</t>
  </si>
  <si>
    <t>speed</t>
  </si>
  <si>
    <t>dist</t>
  </si>
  <si>
    <t xml:space="preserve">mm </t>
  </si>
  <si>
    <t>steps</t>
  </si>
  <si>
    <t>pulses per revolution</t>
  </si>
  <si>
    <t xml:space="preserve"> (dip switches 1 -3 )</t>
  </si>
  <si>
    <t>ON OFF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</si>
</sst>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Actuator speed vs milliseconds of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'belt drive'!$B$2</c:f>
              <c:strCache>
                <c:ptCount val="1"/>
                <c:pt idx="0">
                  <c:v>delay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'belt drive'!$A$3:$A$30</c:f>
              <c:numCache>
                <c:formatCode>General</c:formatCode>
                <c:ptCount val="28"/>
                <c:pt idx="0">
                  <c:v>24.294427788690168</c:v>
                </c:pt>
                <c:pt idx="1">
                  <c:v>25.35059331175836</c:v>
                </c:pt>
                <c:pt idx="2">
                  <c:v>26.49977447000451</c:v>
                </c:pt>
                <c:pt idx="3">
                  <c:v>27.759730671549228</c:v>
                </c:pt>
                <c:pt idx="4">
                  <c:v>29.145479350117821</c:v>
                </c:pt>
                <c:pt idx="5">
                  <c:v>30.674846625766872</c:v>
                </c:pt>
                <c:pt idx="6">
                  <c:v>32.375835227664112</c:v>
                </c:pt>
                <c:pt idx="7">
                  <c:v>34.274046525195068</c:v>
                </c:pt>
                <c:pt idx="8">
                  <c:v>36.414348802975127</c:v>
                </c:pt>
                <c:pt idx="9">
                  <c:v>38.833347104023794</c:v>
                </c:pt>
                <c:pt idx="10">
                  <c:v>41.60028323597097</c:v>
                </c:pt>
                <c:pt idx="11">
                  <c:v>44.796035074342356</c:v>
                </c:pt>
                <c:pt idx="12">
                  <c:v>48.508618020435549</c:v>
                </c:pt>
                <c:pt idx="13">
                  <c:v>52.910052910052904</c:v>
                </c:pt>
                <c:pt idx="14">
                  <c:v>58.17551677187771</c:v>
                </c:pt>
                <c:pt idx="15">
                  <c:v>64.613692603794334</c:v>
                </c:pt>
                <c:pt idx="16">
                  <c:v>72.665429808286959</c:v>
                </c:pt>
                <c:pt idx="17">
                  <c:v>82.965578111209183</c:v>
                </c:pt>
                <c:pt idx="18">
                  <c:v>96.707818930041157</c:v>
                </c:pt>
                <c:pt idx="19">
                  <c:v>115.9062885326757</c:v>
                </c:pt>
                <c:pt idx="20">
                  <c:v>144.61538461538461</c:v>
                </c:pt>
                <c:pt idx="21">
                  <c:v>192.22903885480571</c:v>
                </c:pt>
                <c:pt idx="22">
                  <c:v>286.41072516758078</c:v>
                </c:pt>
                <c:pt idx="23">
                  <c:v>301.28205128205127</c:v>
                </c:pt>
                <c:pt idx="24">
                  <c:v>317.78228532792428</c:v>
                </c:pt>
                <c:pt idx="25">
                  <c:v>336.19456366237483</c:v>
                </c:pt>
                <c:pt idx="26">
                  <c:v>356.33055344958302</c:v>
                </c:pt>
                <c:pt idx="27">
                  <c:v>379.64458804523429</c:v>
                </c:pt>
              </c:numCache>
            </c:numRef>
          </c:xVal>
          <c:yVal>
            <c:numRef>
              <c:f>'belt drive'!$B$3:$B$30</c:f>
              <c:numCache>
                <c:formatCode>General</c:formatCode>
                <c:ptCount val="28"/>
                <c:pt idx="0">
                  <c:v>2400</c:v>
                </c:pt>
                <c:pt idx="1">
                  <c:v>2300</c:v>
                </c:pt>
                <c:pt idx="2">
                  <c:v>2200</c:v>
                </c:pt>
                <c:pt idx="3">
                  <c:v>2100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1700</c:v>
                </c:pt>
                <c:pt idx="8">
                  <c:v>1600</c:v>
                </c:pt>
                <c:pt idx="9">
                  <c:v>1500</c:v>
                </c:pt>
                <c:pt idx="10">
                  <c:v>1400</c:v>
                </c:pt>
                <c:pt idx="11">
                  <c:v>1300</c:v>
                </c:pt>
                <c:pt idx="12">
                  <c:v>1200</c:v>
                </c:pt>
                <c:pt idx="13">
                  <c:v>1100</c:v>
                </c:pt>
                <c:pt idx="14">
                  <c:v>1000</c:v>
                </c:pt>
                <c:pt idx="15">
                  <c:v>900</c:v>
                </c:pt>
                <c:pt idx="16">
                  <c:v>800</c:v>
                </c:pt>
                <c:pt idx="17">
                  <c:v>700</c:v>
                </c:pt>
                <c:pt idx="18">
                  <c:v>600</c:v>
                </c:pt>
                <c:pt idx="19">
                  <c:v>500</c:v>
                </c:pt>
                <c:pt idx="20">
                  <c:v>400</c:v>
                </c:pt>
                <c:pt idx="21">
                  <c:v>300</c:v>
                </c:pt>
                <c:pt idx="22">
                  <c:v>200</c:v>
                </c:pt>
                <c:pt idx="23">
                  <c:v>190</c:v>
                </c:pt>
                <c:pt idx="24">
                  <c:v>180</c:v>
                </c:pt>
                <c:pt idx="25">
                  <c:v>170</c:v>
                </c:pt>
                <c:pt idx="26">
                  <c:v>160</c:v>
                </c:pt>
                <c:pt idx="27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A-4F90-8480-2E6DDD32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01951"/>
        <c:axId val="324489951"/>
      </c:scatterChart>
      <c:valAx>
        <c:axId val="32450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489951"/>
        <c:crosses val="autoZero"/>
        <c:crossBetween val="midCat"/>
      </c:valAx>
      <c:valAx>
        <c:axId val="3244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0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4</xdr:row>
      <xdr:rowOff>26670</xdr:rowOff>
    </xdr:from>
    <xdr:to>
      <xdr:col>16</xdr:col>
      <xdr:colOff>198120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CA459-DD2C-61E3-21F1-F611FB936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99B8-68D5-4007-87CE-8801B05FA42F}">
  <dimension ref="A1:K30"/>
  <sheetViews>
    <sheetView tabSelected="1" workbookViewId="0">
      <selection activeCell="T14" sqref="T14"/>
    </sheetView>
  </sheetViews>
  <sheetFormatPr defaultRowHeight="14.4" x14ac:dyDescent="0.3"/>
  <cols>
    <col min="1" max="1" width="12" bestFit="1" customWidth="1"/>
  </cols>
  <sheetData>
    <row r="1" spans="1:11" x14ac:dyDescent="0.3">
      <c r="A1">
        <v>400</v>
      </c>
      <c r="B1" t="s">
        <v>6</v>
      </c>
      <c r="D1" t="s">
        <v>8</v>
      </c>
      <c r="E1" t="s">
        <v>7</v>
      </c>
    </row>
    <row r="2" spans="1:11" x14ac:dyDescent="0.3">
      <c r="A2" t="s">
        <v>2</v>
      </c>
      <c r="B2" t="s">
        <v>0</v>
      </c>
      <c r="C2" t="s">
        <v>1</v>
      </c>
      <c r="G2" t="s">
        <v>3</v>
      </c>
      <c r="H2">
        <v>470</v>
      </c>
      <c r="I2" t="s">
        <v>4</v>
      </c>
      <c r="J2">
        <v>5000</v>
      </c>
      <c r="K2" t="s">
        <v>5</v>
      </c>
    </row>
    <row r="3" spans="1:11" x14ac:dyDescent="0.3">
      <c r="A3">
        <f>$H$2/C3*1000</f>
        <v>24.294427788690168</v>
      </c>
      <c r="B3">
        <v>2400</v>
      </c>
      <c r="C3">
        <v>19346</v>
      </c>
    </row>
    <row r="4" spans="1:11" x14ac:dyDescent="0.3">
      <c r="A4">
        <f t="shared" ref="A4:A30" si="0">$H$2/C4*1000</f>
        <v>25.35059331175836</v>
      </c>
      <c r="B4">
        <v>2300</v>
      </c>
      <c r="C4">
        <v>18540</v>
      </c>
    </row>
    <row r="5" spans="1:11" x14ac:dyDescent="0.3">
      <c r="A5">
        <f t="shared" si="0"/>
        <v>26.49977447000451</v>
      </c>
      <c r="B5">
        <v>2200</v>
      </c>
      <c r="C5">
        <v>17736</v>
      </c>
    </row>
    <row r="6" spans="1:11" x14ac:dyDescent="0.3">
      <c r="A6">
        <f t="shared" si="0"/>
        <v>27.759730671549228</v>
      </c>
      <c r="B6">
        <v>2100</v>
      </c>
      <c r="C6">
        <v>16931</v>
      </c>
    </row>
    <row r="7" spans="1:11" x14ac:dyDescent="0.3">
      <c r="A7">
        <f t="shared" si="0"/>
        <v>29.145479350117821</v>
      </c>
      <c r="B7">
        <v>2000</v>
      </c>
      <c r="C7">
        <v>16126</v>
      </c>
    </row>
    <row r="8" spans="1:11" x14ac:dyDescent="0.3">
      <c r="A8">
        <f t="shared" si="0"/>
        <v>30.674846625766872</v>
      </c>
      <c r="B8">
        <v>1900</v>
      </c>
      <c r="C8">
        <v>15322</v>
      </c>
    </row>
    <row r="9" spans="1:11" x14ac:dyDescent="0.3">
      <c r="A9">
        <f t="shared" si="0"/>
        <v>32.375835227664112</v>
      </c>
      <c r="B9">
        <v>1800</v>
      </c>
      <c r="C9">
        <v>14517</v>
      </c>
    </row>
    <row r="10" spans="1:11" x14ac:dyDescent="0.3">
      <c r="A10">
        <f t="shared" si="0"/>
        <v>34.274046525195068</v>
      </c>
      <c r="B10">
        <v>1700</v>
      </c>
      <c r="C10">
        <v>13713</v>
      </c>
    </row>
    <row r="11" spans="1:11" x14ac:dyDescent="0.3">
      <c r="A11">
        <f t="shared" si="0"/>
        <v>36.414348802975127</v>
      </c>
      <c r="B11">
        <v>1600</v>
      </c>
      <c r="C11">
        <v>12907</v>
      </c>
    </row>
    <row r="12" spans="1:11" x14ac:dyDescent="0.3">
      <c r="A12">
        <f t="shared" si="0"/>
        <v>38.833347104023794</v>
      </c>
      <c r="B12">
        <v>1500</v>
      </c>
      <c r="C12">
        <v>12103</v>
      </c>
    </row>
    <row r="13" spans="1:11" x14ac:dyDescent="0.3">
      <c r="A13">
        <f t="shared" si="0"/>
        <v>41.60028323597097</v>
      </c>
      <c r="B13">
        <v>1400</v>
      </c>
      <c r="C13">
        <v>11298</v>
      </c>
    </row>
    <row r="14" spans="1:11" x14ac:dyDescent="0.3">
      <c r="A14">
        <f t="shared" si="0"/>
        <v>44.796035074342356</v>
      </c>
      <c r="B14">
        <v>1300</v>
      </c>
      <c r="C14">
        <v>10492</v>
      </c>
    </row>
    <row r="15" spans="1:11" x14ac:dyDescent="0.3">
      <c r="A15">
        <f t="shared" si="0"/>
        <v>48.508618020435549</v>
      </c>
      <c r="B15">
        <v>1200</v>
      </c>
      <c r="C15">
        <v>9689</v>
      </c>
    </row>
    <row r="16" spans="1:11" x14ac:dyDescent="0.3">
      <c r="A16">
        <f t="shared" si="0"/>
        <v>52.910052910052904</v>
      </c>
      <c r="B16">
        <v>1100</v>
      </c>
      <c r="C16">
        <v>8883</v>
      </c>
    </row>
    <row r="17" spans="1:3" x14ac:dyDescent="0.3">
      <c r="A17">
        <f t="shared" si="0"/>
        <v>58.17551677187771</v>
      </c>
      <c r="B17">
        <v>1000</v>
      </c>
      <c r="C17">
        <v>8079</v>
      </c>
    </row>
    <row r="18" spans="1:3" x14ac:dyDescent="0.3">
      <c r="A18">
        <f t="shared" si="0"/>
        <v>64.613692603794334</v>
      </c>
      <c r="B18">
        <v>900</v>
      </c>
      <c r="C18">
        <v>7274</v>
      </c>
    </row>
    <row r="19" spans="1:3" x14ac:dyDescent="0.3">
      <c r="A19">
        <f t="shared" si="0"/>
        <v>72.665429808286959</v>
      </c>
      <c r="B19">
        <v>800</v>
      </c>
      <c r="C19">
        <v>6468</v>
      </c>
    </row>
    <row r="20" spans="1:3" x14ac:dyDescent="0.3">
      <c r="A20">
        <f t="shared" si="0"/>
        <v>82.965578111209183</v>
      </c>
      <c r="B20">
        <v>700</v>
      </c>
      <c r="C20">
        <v>5665</v>
      </c>
    </row>
    <row r="21" spans="1:3" x14ac:dyDescent="0.3">
      <c r="A21">
        <f t="shared" si="0"/>
        <v>96.707818930041157</v>
      </c>
      <c r="B21">
        <v>600</v>
      </c>
      <c r="C21">
        <v>4860</v>
      </c>
    </row>
    <row r="22" spans="1:3" x14ac:dyDescent="0.3">
      <c r="A22">
        <f t="shared" si="0"/>
        <v>115.9062885326757</v>
      </c>
      <c r="B22">
        <v>500</v>
      </c>
      <c r="C22">
        <v>4055</v>
      </c>
    </row>
    <row r="23" spans="1:3" x14ac:dyDescent="0.3">
      <c r="A23">
        <f t="shared" si="0"/>
        <v>144.61538461538461</v>
      </c>
      <c r="B23">
        <v>400</v>
      </c>
      <c r="C23">
        <v>3250</v>
      </c>
    </row>
    <row r="24" spans="1:3" x14ac:dyDescent="0.3">
      <c r="A24">
        <f t="shared" si="0"/>
        <v>192.22903885480571</v>
      </c>
      <c r="B24">
        <v>300</v>
      </c>
      <c r="C24">
        <v>2445</v>
      </c>
    </row>
    <row r="25" spans="1:3" x14ac:dyDescent="0.3">
      <c r="A25">
        <f t="shared" si="0"/>
        <v>286.41072516758078</v>
      </c>
      <c r="B25">
        <v>200</v>
      </c>
      <c r="C25">
        <v>1641</v>
      </c>
    </row>
    <row r="26" spans="1:3" x14ac:dyDescent="0.3">
      <c r="A26">
        <f t="shared" si="0"/>
        <v>301.28205128205127</v>
      </c>
      <c r="B26">
        <v>190</v>
      </c>
      <c r="C26">
        <v>1560</v>
      </c>
    </row>
    <row r="27" spans="1:3" x14ac:dyDescent="0.3">
      <c r="A27">
        <f t="shared" si="0"/>
        <v>317.78228532792428</v>
      </c>
      <c r="B27">
        <v>180</v>
      </c>
      <c r="C27">
        <v>1479</v>
      </c>
    </row>
    <row r="28" spans="1:3" x14ac:dyDescent="0.3">
      <c r="A28">
        <f t="shared" si="0"/>
        <v>336.19456366237483</v>
      </c>
      <c r="B28">
        <v>170</v>
      </c>
      <c r="C28">
        <v>1398</v>
      </c>
    </row>
    <row r="29" spans="1:3" x14ac:dyDescent="0.3">
      <c r="A29">
        <f t="shared" si="0"/>
        <v>356.33055344958302</v>
      </c>
      <c r="B29">
        <v>160</v>
      </c>
      <c r="C29">
        <v>1319</v>
      </c>
    </row>
    <row r="30" spans="1:3" x14ac:dyDescent="0.3">
      <c r="A30">
        <f t="shared" si="0"/>
        <v>379.64458804523429</v>
      </c>
      <c r="B30">
        <v>150</v>
      </c>
      <c r="C30">
        <v>1238</v>
      </c>
    </row>
  </sheetData>
  <sortState xmlns:xlrd2="http://schemas.microsoft.com/office/spreadsheetml/2017/richdata2" ref="A3:D17">
    <sortCondition ref="B3:B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belt 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Scharfe</dc:creator>
  <cp:lastModifiedBy>Nathan Scharfe</cp:lastModifiedBy>
  <dcterms:created xsi:type="dcterms:W3CDTF">2026-04-11T18:54:43Z</dcterms:created>
  <dcterms:modified xsi:type="dcterms:W3CDTF">2026-04-14T21:28:55Z</dcterms:modified>
</cp:coreProperties>
</file>